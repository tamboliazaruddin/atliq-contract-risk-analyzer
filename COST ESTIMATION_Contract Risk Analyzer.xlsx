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ference" sheetId="2" state="visible" r:id="rId2"/>
    <sheet name="Embeddings" sheetId="3" state="visible" r:id="rId3"/>
    <sheet name="Infrastructure" sheetId="4" state="visible" r:id="rId4"/>
    <sheet name="Cost Savings" sheetId="5" state="visible" r:id="rId5"/>
    <sheet name="Assumption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[$$-409]#,##0.00"/>
    <numFmt numFmtId="166" formatCode="[$$-409]#,##0.0000"/>
    <numFmt numFmtId="167" formatCode="_([$$-409]* #,##0.00_);_([$$-409]* \(#,##0.00\);_([$$-409]* &quot;-&quot;??_);_(@_)"/>
    <numFmt numFmtId="168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b val="1"/>
      <color rgb="00000000"/>
      <sz val="14"/>
    </font>
    <font>
      <name val="Calibri"/>
      <color rgb="00000000"/>
      <sz val="14"/>
    </font>
    <font>
      <name val="Calibri"/>
      <color rgb="000000FF"/>
      <sz val="14"/>
    </font>
    <font>
      <name val="Calibri"/>
      <color rgb="00008000"/>
      <sz val="14"/>
    </font>
    <font>
      <name val="Calibri"/>
      <color rgb="00000000"/>
      <sz val="11"/>
    </font>
    <font>
      <name val="Calibri"/>
      <b val="1"/>
      <color rgb="00000000"/>
      <sz val="18"/>
    </font>
    <font>
      <name val="Calibri"/>
      <b val="1"/>
      <color rgb="000000FF"/>
      <sz val="18"/>
    </font>
    <font>
      <name val="Calibri"/>
      <color rgb="00000000"/>
      <sz val="12"/>
    </font>
    <font>
      <name val="Calibri"/>
      <b val="1"/>
      <color rgb="00008000"/>
      <sz val="14"/>
    </font>
  </fonts>
  <fills count="4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medium"/>
      <right style="thin">
        <color rgb="00BFBFBF"/>
      </right>
      <top style="medium"/>
      <bottom style="thin">
        <color rgb="00BFBFBF"/>
      </bottom>
    </border>
    <border>
      <left style="thin">
        <color rgb="00BFBFBF"/>
      </left>
      <right style="medium"/>
      <top style="medium"/>
      <bottom style="thin">
        <color rgb="00BFBFBF"/>
      </bottom>
    </border>
    <border>
      <left style="medium"/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/>
      <top style="thin">
        <color rgb="00BFBFBF"/>
      </top>
      <bottom style="thin">
        <color rgb="00BFBFBF"/>
      </bottom>
    </border>
    <border>
      <left style="medium"/>
      <right style="thin">
        <color rgb="00BFBFBF"/>
      </right>
      <top style="thin">
        <color rgb="00BFBFBF"/>
      </top>
      <bottom style="medium"/>
    </border>
    <border>
      <left style="thin">
        <color rgb="00BFBFBF"/>
      </left>
      <right style="medium"/>
      <top style="thin">
        <color rgb="00BFBFBF"/>
      </top>
      <bottom style="medium"/>
    </border>
    <border>
      <left style="thin">
        <color rgb="00BFBFBF"/>
      </left>
      <right style="thin">
        <color rgb="00BFBFBF"/>
      </right>
      <top style="medium"/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9" fillId="0" borderId="2" pivotButton="0" quotePrefix="0" xfId="0"/>
    <xf numFmtId="0" fontId="3" fillId="0" borderId="3" pivotButton="0" quotePrefix="0" xfId="0"/>
    <xf numFmtId="0" fontId="9" fillId="0" borderId="4" pivotButton="0" quotePrefix="0" xfId="0"/>
    <xf numFmtId="0" fontId="5" fillId="0" borderId="3" pivotButton="0" quotePrefix="0" xfId="0"/>
    <xf numFmtId="0" fontId="3" fillId="3" borderId="5" pivotButton="0" quotePrefix="0" xfId="0"/>
    <xf numFmtId="0" fontId="9" fillId="0" borderId="6" pivotButton="0" quotePrefix="0" xfId="0"/>
    <xf numFmtId="0" fontId="3" fillId="0" borderId="1" pivotButton="0" quotePrefix="0" xfId="0"/>
    <xf numFmtId="0" fontId="3" fillId="0" borderId="2" pivotButton="0" quotePrefix="0" xfId="0"/>
    <xf numFmtId="0" fontId="5" fillId="0" borderId="4" pivotButton="0" quotePrefix="0" xfId="0"/>
    <xf numFmtId="167" fontId="5" fillId="0" borderId="4" pivotButton="0" quotePrefix="0" xfId="0"/>
    <xf numFmtId="3" fontId="5" fillId="0" borderId="4" pivotButton="0" quotePrefix="0" xfId="0"/>
    <xf numFmtId="166" fontId="5" fillId="0" borderId="4" pivotButton="0" quotePrefix="0" xfId="0"/>
    <xf numFmtId="0" fontId="2" fillId="2" borderId="3" pivotButton="0" quotePrefix="0" xfId="0"/>
    <xf numFmtId="167" fontId="10" fillId="2" borderId="4" pivotButton="0" quotePrefix="0" xfId="0"/>
    <xf numFmtId="9" fontId="10" fillId="2" borderId="4" pivotButton="0" quotePrefix="0" xfId="0"/>
    <xf numFmtId="167" fontId="3" fillId="0" borderId="4" pivotButton="0" quotePrefix="0" xfId="0"/>
    <xf numFmtId="164" fontId="5" fillId="0" borderId="4" pivotButton="0" quotePrefix="0" xfId="0"/>
    <xf numFmtId="167" fontId="2" fillId="2" borderId="4" pivotButton="0" quotePrefix="0" xfId="0"/>
    <xf numFmtId="0" fontId="2" fillId="2" borderId="5" pivotButton="0" quotePrefix="0" xfId="0"/>
    <xf numFmtId="167" fontId="2" fillId="2" borderId="6" pivotButton="0" quotePrefix="0" xfId="0"/>
    <xf numFmtId="164" fontId="2" fillId="2" borderId="4" pivotButton="0" quotePrefix="0" xfId="0"/>
    <xf numFmtId="0" fontId="3" fillId="0" borderId="5" pivotButton="0" quotePrefix="0" xfId="0"/>
    <xf numFmtId="168" fontId="3" fillId="0" borderId="6" pivotButton="0" quotePrefix="0" xfId="0"/>
    <xf numFmtId="3" fontId="4" fillId="3" borderId="4" pivotButton="0" quotePrefix="0" xfId="0"/>
    <xf numFmtId="167" fontId="4" fillId="0" borderId="4" pivotButton="0" quotePrefix="0" xfId="0"/>
    <xf numFmtId="3" fontId="4" fillId="0" borderId="4" pivotButton="0" quotePrefix="0" xfId="0"/>
    <xf numFmtId="3" fontId="4" fillId="0" borderId="3" pivotButton="0" quotePrefix="0" xfId="0"/>
    <xf numFmtId="3" fontId="4" fillId="0" borderId="5" pivotButton="0" quotePrefix="0" xfId="0"/>
    <xf numFmtId="167" fontId="3" fillId="0" borderId="6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3" pivotButton="0" quotePrefix="0" xfId="0"/>
    <xf numFmtId="165" fontId="4" fillId="0" borderId="8" pivotButton="0" quotePrefix="0" xfId="0"/>
    <xf numFmtId="166" fontId="3" fillId="0" borderId="8" pivotButton="0" quotePrefix="0" xfId="0"/>
    <xf numFmtId="165" fontId="3" fillId="0" borderId="8" pivotButton="0" quotePrefix="0" xfId="0"/>
    <xf numFmtId="165" fontId="2" fillId="0" borderId="8" pivotButton="0" quotePrefix="0" xfId="0"/>
    <xf numFmtId="0" fontId="6" fillId="0" borderId="4" pivotButton="0" quotePrefix="0" xfId="0"/>
    <xf numFmtId="3" fontId="3" fillId="0" borderId="4" pivotButton="0" quotePrefix="0" xfId="0"/>
    <xf numFmtId="3" fontId="2" fillId="2" borderId="4" pivotButton="0" quotePrefix="0" xfId="0"/>
    <xf numFmtId="0" fontId="4" fillId="0" borderId="5" pivotButton="0" quotePrefix="0" xfId="0"/>
    <xf numFmtId="165" fontId="4" fillId="0" borderId="9" pivotButton="0" quotePrefix="0" xfId="0"/>
    <xf numFmtId="166" fontId="3" fillId="0" borderId="9" pivotButton="0" quotePrefix="0" xfId="0"/>
    <xf numFmtId="165" fontId="3" fillId="0" borderId="9" pivotButton="0" quotePrefix="0" xfId="0"/>
    <xf numFmtId="165" fontId="2" fillId="0" borderId="9" pivotButton="0" quotePrefix="0" xfId="0"/>
    <xf numFmtId="0" fontId="6" fillId="0" borderId="6" pivotButton="0" quotePrefix="0" xfId="0"/>
    <xf numFmtId="0" fontId="2" fillId="0" borderId="1" pivotButton="0" quotePrefix="0" xfId="0"/>
    <xf numFmtId="0" fontId="4" fillId="3" borderId="2" pivotButton="0" quotePrefix="0" xfId="0"/>
    <xf numFmtId="164" fontId="4" fillId="0" borderId="4" pivotButton="0" quotePrefix="0" xfId="0"/>
    <xf numFmtId="166" fontId="3" fillId="0" borderId="4" pivotButton="0" quotePrefix="0" xfId="0"/>
    <xf numFmtId="3" fontId="2" fillId="2" borderId="6" pivotButton="0" quotePrefix="0" xfId="0"/>
    <xf numFmtId="165" fontId="2" fillId="2" borderId="4" pivotButton="0" quotePrefix="0" xfId="0"/>
    <xf numFmtId="165" fontId="3" fillId="0" borderId="6" pivotButton="0" quotePrefix="0" xfId="0"/>
    <xf numFmtId="9" fontId="4" fillId="0" borderId="4" pivotButton="0" quotePrefix="0" xfId="0"/>
    <xf numFmtId="164" fontId="2" fillId="2" borderId="6" pivotButton="0" quotePrefix="0" xfId="0"/>
    <xf numFmtId="0" fontId="7" fillId="2" borderId="0" pivotButton="0" quotePrefix="0" xfId="0"/>
    <xf numFmtId="0" fontId="8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165" fontId="4" fillId="0" borderId="4" pivotButton="0" quotePrefix="0" xfId="0"/>
    <xf numFmtId="165" fontId="2" fillId="2" borderId="6" pivotButton="0" quotePrefix="0" xfId="0"/>
    <xf numFmtId="165" fontId="3" fillId="0" borderId="4" pivotButton="0" quotePrefix="0" xfId="0"/>
    <xf numFmtId="165" fontId="2" fillId="2" borderId="2" pivotButton="0" quotePrefix="0" xfId="0"/>
    <xf numFmtId="0" fontId="2" fillId="2" borderId="7" pivotButton="0" quotePrefix="0" xfId="0"/>
    <xf numFmtId="3" fontId="5" fillId="0" borderId="8" pivotButton="0" quotePrefix="0" xfId="0"/>
    <xf numFmtId="3" fontId="4" fillId="0" borderId="8" pivotButton="0" quotePrefix="0" xfId="0"/>
    <xf numFmtId="9" fontId="4" fillId="0" borderId="8" pivotButton="0" quotePrefix="0" xfId="0"/>
    <xf numFmtId="165" fontId="2" fillId="2" borderId="9" pivotButton="0" quotePrefix="0" xfId="0"/>
    <xf numFmtId="0" fontId="0" fillId="2" borderId="6" pivotButton="0" quotePrefix="0" xfId="0"/>
    <xf numFmtId="0" fontId="2" fillId="0" borderId="3" pivotButton="0" quotePrefix="0" xfId="0"/>
    <xf numFmtId="167" fontId="2" fillId="0" borderId="4" pivotButton="0" quotePrefix="0" xfId="0"/>
    <xf numFmtId="164" fontId="4" fillId="3" borderId="4" pivotButton="0" quotePrefix="0" xfId="0"/>
    <xf numFmtId="167" fontId="4" fillId="3" borderId="4" pivotButton="0" quotePrefix="0" xfId="0"/>
    <xf numFmtId="9" fontId="4" fillId="3" borderId="4" pivotButton="0" quotePrefix="0" xfId="0"/>
    <xf numFmtId="167" fontId="2" fillId="2" borderId="2" pivotButton="0" quotePrefix="0" xfId="0"/>
    <xf numFmtId="9" fontId="2" fillId="2" borderId="4" pivotButton="0" quotePrefix="0" xfId="0"/>
    <xf numFmtId="0" fontId="9" fillId="0" borderId="3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cost: manual vs. with AI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'Summary'!$E$13:$E$14</f>
            </numRef>
          </cat>
          <val>
            <numRef>
              <f>'Summary'!$F$13:$F$14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per month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Cost model</author>
  </authors>
  <commentList>
    <comment ref="C25" authorId="0" shapeId="0">
      <text>
        <t>Assumption: engineering effort to take the prototype to production (SSO, server-side storage, back-filling the register, pilot). Replace with the delivery team's estimate.</t>
      </text>
    </comment>
    <comment ref="C26" authorId="0" shapeId="0">
      <text>
        <t>Assumption: AtliQ Pune delivery team blended rate.</t>
      </text>
    </comment>
    <comment ref="C27" authorId="0" shapeId="0">
      <text>
        <t>CEO/counsel time to verify extracted restrictions once (PRD: derived knowledge is human-verified).</t>
      </text>
    </comment>
  </commentList>
</comments>
</file>

<file path=xl/comments/comment2.xml><?xml version="1.0" encoding="utf-8"?>
<comments xmlns="http://schemas.openxmlformats.org/spreadsheetml/2006/main">
  <authors>
    <author>Cost model</author>
  </authors>
  <commentList>
    <comment ref="C6" authorId="0" shapeId="0">
      <text>
        <t>Review instructions, guardrails (no legal advice, verbatim quotes, no approvals), JSON schema. Prototype prompt ≈ 1,000 tokens.</t>
      </text>
    </comment>
    <comment ref="C7" authorId="0" shapeId="0">
      <text>
        <t>Contract type, AtliQ entity/role, checks selected, reviewer's deal-context note.</t>
      </text>
    </comment>
    <comment ref="C8" authorId="0" shapeId="0">
      <text>
        <t>Average words per contract (C20) × tokens per word (Embeddings!D3).</t>
      </text>
    </comment>
    <comment ref="C9" authorId="0" shapeId="0">
      <text>
        <t>Top 8 retrieved chunks (signed-contract clauses, precedents, notes) × ~400 tokens each.</t>
      </text>
    </comment>
    <comment ref="C10" authorId="0" shapeId="0">
      <text>
        <t>Deterministic findings and outline passed to the model so it does not repeat them.</t>
      </text>
    </comment>
    <comment ref="C12" authorId="0" shapeId="0">
      <text>
        <t>Findings with clause quotes and evidence, summary, key terms and model reasoning tokens. Prototype runs produced ~2,500–4,000.</t>
      </text>
    </comment>
    <comment ref="C14" authorId="0" shapeId="0">
      <text>
        <t>Source: dataset (22 Sep 2026 contract-queue meeting): ~9 contracts/month in 2026 (MSAs, SOWs, NDAs, DPAs, amendments), up from ~5 in 2025.</t>
      </text>
    </comment>
    <comment ref="F14" authorId="0" shapeId="0">
      <text>
        <t>Pick from the list. Recommendation: a mid-tier frontier model (strong clause reasoning and verbatim quoting at moderate cost). The prototype used Groq gpt-oss-120b (free tier).</t>
      </text>
    </comment>
    <comment ref="C15" authorId="0" shapeId="0">
      <text>
        <t>Each negotiated version is re-reviewed in full (MVP assumption #9). 2 = original + one revised version on average.</t>
      </text>
    </comment>
    <comment ref="C20" authorId="0" shapeId="0">
      <text>
        <t>Production client MSAs run ~10–20 pages. Dataset drafts average ~3,500 words; 6,000 is a conservative production figure.</t>
      </text>
    </comment>
    <comment ref="C21" authorId="0" shapeId="0">
      <text>
        <t>~800-token extraction prompt + full contract text.</t>
      </text>
    </comment>
    <comment ref="C22" authorId="0" shapeId="0">
      <text>
        <t>Structured list of restrictions (non-competes, exclusivity, MFN, IP, data location) with verbatim quotes.</t>
      </text>
    </comment>
  </commentList>
</comments>
</file>

<file path=xl/comments/comment3.xml><?xml version="1.0" encoding="utf-8"?>
<comments xmlns="http://schemas.openxmlformats.org/spreadsheetml/2006/main">
  <authors>
    <author>Cost model</author>
  </authors>
  <commentList>
    <comment ref="D3" authorId="0" shapeId="0">
      <text>
        <t>Common rule of thumb for English text (~1.3 tokens per word); same as the reference model.</t>
      </text>
    </comment>
    <comment ref="D7" authorId="0" shapeId="0">
      <text>
        <t>Production back-fill of all executed agreements, SOWs, waivers, BAAs (dataset sample: 17). Words: client MSAs ~10–20 pages.</t>
      </text>
    </comment>
    <comment ref="G7" authorId="0" shapeId="0">
      <text>
        <t>Negotiation threads with commercial context (dataset: negotiation_notes.md reconstructed from inboxes).</t>
      </text>
    </comment>
    <comment ref="J7" authorId="0" shapeId="0">
      <text>
        <t>Meeting notes, contract tracker rows, post-mortems (dataset: 4 notes + 48 tracker rows; production history).</t>
      </text>
    </comment>
    <comment ref="D16" authorId="0" shapeId="0">
      <text>
        <t>OpenAI text-embedding-3-large ≈ $0.13 / 1M tokens (text-embedding-3-small ≈ $0.02). Source: getmaxim.ai cost calculator (2026); verify on OpenAI pricing page.</t>
      </text>
    </comment>
    <comment ref="D22" authorId="0" shapeId="0">
      <text>
        <t>One query per clause theme (scope, geography/sector, pricing, IP, data, parties…) to search signed contracts and notes.</t>
      </text>
    </comment>
  </commentList>
</comments>
</file>

<file path=xl/comments/comment4.xml><?xml version="1.0" encoding="utf-8"?>
<comments xmlns="http://schemas.openxmlformats.org/spreadsheetml/2006/main">
  <authors>
    <author>Cost model</author>
  </authors>
  <commentList>
    <comment ref="C7" authorId="0" shapeId="0">
      <text>
        <t>Most drafts arrive as Word/text PDFs; scans (e.g. old signed copies) need OCR.</t>
      </text>
    </comment>
    <comment ref="C8" authorId="0" shapeId="0">
      <text>
        <t>Azure AI Document Intelligence Read ≈ $1.50 / 1,000 pages (free tier 500 pages/month). Source: erpresearch.com / ud.hk (2026); verify on Azure pricing page.</t>
      </text>
    </comment>
  </commentList>
</comments>
</file>

<file path=xl/comments/comment5.xml><?xml version="1.0" encoding="utf-8"?>
<comments xmlns="http://schemas.openxmlformats.org/spreadsheetml/2006/main">
  <authors>
    <author>Cost model</author>
  </authors>
  <commentList>
    <comment ref="E5" authorId="0" shapeId="0">
      <text>
        <t>Source: client meeting 2 baseline — ~3–4 contracts + 4–5 NDAs per month.</t>
      </text>
    </comment>
    <comment ref="H5" authorId="0" shapeId="0">
      <text>
        <t>Dataset: $9,000 credit settlement (Apr 2026) after an uncapped LD clause was signed from a phone.</t>
      </text>
    </comment>
    <comment ref="E6" authorId="0" shapeId="0">
      <text>
        <t>Source: client meeting 2 — 6–8 h per complex review; Karandeep: 'a client-paper MSA takes 3–4 hrs properly' + context gathering.</t>
      </text>
    </comment>
    <comment ref="H6" authorId="0" shapeId="0">
      <text>
        <t>Dataset: Calloway Stern bill $14,200.</t>
      </text>
    </comment>
    <comment ref="E7" authorId="0" shapeId="0">
      <text>
        <t>Source: client meeting 2 — 4–5 NDAs per month.</t>
      </text>
    </comment>
    <comment ref="H7" authorId="0" shapeId="0">
      <text>
        <t>~2 weeks (80 h) of senior time on dispute paperwork × stakeholder rate.</t>
      </text>
    </comment>
    <comment ref="E8" authorId="0" shapeId="0">
      <text>
        <t>Source: client meeting 2 — ~2 h per standard review.</t>
      </text>
    </comment>
    <comment ref="H9" authorId="0" shapeId="0">
      <text>
        <t>Assumption: one material incident per year avoided (missed uncapped LD, non-compete conflict, MFN credit, PHI exposure). The dataset shows several live candidates (Gulf Crown / Al Noor, Lakeshore / Crestline MFN, Harrington PHI).</t>
      </text>
    </comment>
    <comment ref="H10" authorId="0" shapeId="0">
      <text>
        <t>Dataset: ShopSwift $55k SOW sat 9 days in review; budget moved a quarter.</t>
      </text>
    </comment>
    <comment ref="H11" authorId="0" shapeId="0">
      <text>
        <t>Assumption: IT services gross margin.</t>
      </text>
    </comment>
    <comment ref="E12" authorId="0" shapeId="0">
      <text>
        <t>Sellers/founders searching drives and inboxes (e.g. 20 min to find the Al Noor MSA during a counsel call; Jay's inbox reconstruction).</t>
      </text>
    </comment>
    <comment ref="E18" authorId="0" shapeId="0">
      <text>
        <t>Assumption to validate with leadership: value of one founder/CEO hour (time diverted from sales, delivery, strategy). Reviews currently happen after 10 pm.</t>
      </text>
    </comment>
    <comment ref="E19" authorId="0" shapeId="0">
      <text>
        <t>Assumption: blended loaded cost of founders' / sales executive's time.</t>
      </text>
    </comment>
    <comment ref="E20" authorId="0" shapeId="0">
      <text>
        <t>Dataset: Calloway Stern CareBridge BAA review $3,800; Mehta Rao Gulf Crown + Al Noor review ₹1,20,000 (~$1,440). ≈ one engagement every 1–2 months → ~$1,500/month average (assumption).</t>
      </text>
    </comment>
    <comment ref="E28" authorId="0" shapeId="0">
      <text>
        <t>PRD North Star target: 50% reduction in median human review effort per contract (to be validated in pilot).</t>
      </text>
    </comment>
    <comment ref="E29" authorId="0" shapeId="0">
      <text>
        <t>Commitments register, precedent library and retrieval replace manual inbox/drive searches (assumption).</t>
      </text>
    </comment>
    <comment ref="E30" authorId="0" shapeId="0">
      <text>
        <t>Counsel receives a pre-assembled pack (contract + cited signed commitments) instead of collecting documents — 'I can't advise on one in isolation' (Mehta Rao). Counsel is still used for Critical items (assumption).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2" customWidth="1" min="3" max="3"/>
    <col width="3" customWidth="1" min="4" max="4"/>
    <col width="46" customWidth="1" min="5" max="5"/>
    <col width="24" customWidth="1" min="6" max="6"/>
  </cols>
  <sheetData>
    <row r="2">
      <c r="B2" s="1" t="inlineStr">
        <is>
          <t>AtliQ Contract Risk Analyzer — Cost Estimation &amp; Savings (production AI product)</t>
        </is>
      </c>
    </row>
    <row r="3">
      <c r="B3" s="2" t="inlineStr">
        <is>
          <t>Monthly figures unless stated. Change the blue / yellow inputs on each sheet — every total recalculates.</t>
        </is>
      </c>
    </row>
    <row r="5">
      <c r="B5" s="3" t="inlineStr">
        <is>
          <t>Legend</t>
        </is>
      </c>
      <c r="C5" s="4" t="n"/>
    </row>
    <row r="6">
      <c r="B6" s="5" t="inlineStr">
        <is>
          <t>Blue text</t>
        </is>
      </c>
      <c r="C6" s="6" t="inlineStr">
        <is>
          <t>Input / assumption you can change</t>
        </is>
      </c>
    </row>
    <row r="7">
      <c r="B7" s="7" t="inlineStr">
        <is>
          <t>Black text</t>
        </is>
      </c>
      <c r="C7" s="8" t="inlineStr">
        <is>
          <t>Formula (do not overwrite)</t>
        </is>
      </c>
    </row>
    <row r="8">
      <c r="B8" s="9" t="inlineStr">
        <is>
          <t>Green text</t>
        </is>
      </c>
      <c r="C8" s="8" t="inlineStr">
        <is>
          <t>Linked from another sheet</t>
        </is>
      </c>
    </row>
    <row r="9">
      <c r="B9" s="10" t="inlineStr">
        <is>
          <t>Yellow fill</t>
        </is>
      </c>
      <c r="C9" s="11" t="inlineStr">
        <is>
          <t>Key assumption to validate with leadership</t>
        </is>
      </c>
    </row>
    <row r="11">
      <c r="B11" s="3" t="inlineStr">
        <is>
          <t>AI running cost</t>
        </is>
      </c>
      <c r="C11" s="4" t="n"/>
      <c r="E11" s="3" t="inlineStr">
        <is>
          <t>Savings &amp; ROI</t>
        </is>
      </c>
      <c r="F11" s="4" t="n"/>
    </row>
    <row r="12">
      <c r="B12" s="12" t="inlineStr">
        <is>
          <t>Component</t>
        </is>
      </c>
      <c r="C12" s="13" t="inlineStr">
        <is>
          <t>Cost</t>
        </is>
      </c>
      <c r="E12" s="12" t="inlineStr">
        <is>
          <t>Component</t>
        </is>
      </c>
      <c r="F12" s="13" t="inlineStr">
        <is>
          <t>Value</t>
        </is>
      </c>
    </row>
    <row r="13">
      <c r="B13" s="7" t="inlineStr">
        <is>
          <t>Selected model</t>
        </is>
      </c>
      <c r="C13" s="14">
        <f>Inference!F14</f>
        <v/>
      </c>
      <c r="E13" s="7" t="inlineStr">
        <is>
          <t>Manual review cost per month</t>
        </is>
      </c>
      <c r="F13" s="15">
        <f>'Cost Savings'!E23</f>
        <v/>
      </c>
    </row>
    <row r="14">
      <c r="B14" s="7" t="inlineStr">
        <is>
          <t>Reviews per month</t>
        </is>
      </c>
      <c r="C14" s="16">
        <f>Inference!C16</f>
        <v/>
      </c>
      <c r="E14" s="7" t="inlineStr">
        <is>
          <t>Cost with AI per month (people + AI)</t>
        </is>
      </c>
      <c r="F14" s="15">
        <f>'Cost Savings'!E38</f>
        <v/>
      </c>
    </row>
    <row r="15">
      <c r="B15" s="7" t="inlineStr">
        <is>
          <t>Inference cost per review</t>
        </is>
      </c>
      <c r="C15" s="17">
        <f>Inference!F15</f>
        <v/>
      </c>
      <c r="E15" s="18" t="inlineStr">
        <is>
          <t>Savings per month</t>
        </is>
      </c>
      <c r="F15" s="19">
        <f>'Cost Savings'!E41</f>
        <v/>
      </c>
    </row>
    <row r="16">
      <c r="B16" s="7" t="inlineStr">
        <is>
          <t>Inference per month</t>
        </is>
      </c>
      <c r="C16" s="15">
        <f>Inference!F16</f>
        <v/>
      </c>
      <c r="E16" s="18" t="inlineStr">
        <is>
          <t>% Savings</t>
        </is>
      </c>
      <c r="F16" s="20">
        <f>'Cost Savings'!E42</f>
        <v/>
      </c>
    </row>
    <row r="17">
      <c r="B17" s="7" t="inlineStr">
        <is>
          <t>Embeddings per month</t>
        </is>
      </c>
      <c r="C17" s="15">
        <f>Embeddings!D30</f>
        <v/>
      </c>
      <c r="E17" s="7" t="inlineStr">
        <is>
          <t>Savings per year</t>
        </is>
      </c>
      <c r="F17" s="21">
        <f>F15*12</f>
        <v/>
      </c>
    </row>
    <row r="18">
      <c r="B18" s="7" t="inlineStr">
        <is>
          <t>Infrastructure per month</t>
        </is>
      </c>
      <c r="C18" s="15">
        <f>Infrastructure!C20</f>
        <v/>
      </c>
      <c r="E18" s="7" t="inlineStr">
        <is>
          <t>CEO hours freed per month</t>
        </is>
      </c>
      <c r="F18" s="22">
        <f>'Cost Savings'!E43</f>
        <v/>
      </c>
    </row>
    <row r="19">
      <c r="B19" s="18" t="inlineStr">
        <is>
          <t>Total AI running cost per month</t>
        </is>
      </c>
      <c r="C19" s="23">
        <f>C16+C17+C18</f>
        <v/>
      </c>
      <c r="E19" s="7" t="inlineStr">
        <is>
          <t>Risk &amp; revenue protected per year</t>
        </is>
      </c>
      <c r="F19" s="15">
        <f>'Cost Savings'!H13</f>
        <v/>
      </c>
    </row>
    <row r="20">
      <c r="B20" s="24" t="inlineStr">
        <is>
          <t>Total AI running cost per year</t>
        </is>
      </c>
      <c r="C20" s="25">
        <f>C19*12</f>
        <v/>
      </c>
      <c r="E20" s="18" t="inlineStr">
        <is>
          <t>Payback period (months)</t>
        </is>
      </c>
      <c r="F20" s="26">
        <f>IF(F15&lt;=0,"n/a",C28/F15)</f>
        <v/>
      </c>
    </row>
    <row r="21">
      <c r="E21" s="18" t="inlineStr">
        <is>
          <t>First-year net benefit (savings only)</t>
        </is>
      </c>
      <c r="F21" s="23">
        <f>F17-C28</f>
        <v/>
      </c>
    </row>
    <row r="22">
      <c r="B22" s="3" t="inlineStr">
        <is>
          <t>One-time setup</t>
        </is>
      </c>
      <c r="C22" s="4" t="n"/>
      <c r="E22" s="18" t="inlineStr">
        <is>
          <t>First-year net benefit (incl. risk avoided)</t>
        </is>
      </c>
      <c r="F22" s="23">
        <f>F17+F19-C28</f>
        <v/>
      </c>
    </row>
    <row r="23">
      <c r="B23" s="12" t="inlineStr">
        <is>
          <t>Component</t>
        </is>
      </c>
      <c r="C23" s="13" t="inlineStr">
        <is>
          <t>Cost</t>
        </is>
      </c>
      <c r="E23" s="27" t="inlineStr">
        <is>
          <t>AI running cost as % of manual cost</t>
        </is>
      </c>
      <c r="F23" s="28">
        <f>IF(F13=0,0,C19/F13)</f>
        <v/>
      </c>
    </row>
    <row r="24">
      <c r="B24" s="7" t="inlineStr">
        <is>
          <t>Indexing historical contracts &amp; notes</t>
        </is>
      </c>
      <c r="C24" s="15">
        <f>Embeddings!D31</f>
        <v/>
      </c>
    </row>
    <row r="25">
      <c r="B25" s="7" t="inlineStr">
        <is>
          <t>Build &amp; rollout effort (hours)</t>
        </is>
      </c>
      <c r="C25" s="29" t="n">
        <v>240</v>
      </c>
    </row>
    <row r="26">
      <c r="B26" s="7" t="inlineStr">
        <is>
          <t>Blended engineering cost per hour</t>
        </is>
      </c>
      <c r="C26" s="30" t="n">
        <v>40</v>
      </c>
      <c r="E26" s="3" t="inlineStr">
        <is>
          <t>Scale check — AI cost if volume grows</t>
        </is>
      </c>
      <c r="F26" s="4" t="n"/>
    </row>
    <row r="27">
      <c r="B27" s="7" t="inlineStr">
        <is>
          <t>Human verification of commitments register (hours)</t>
        </is>
      </c>
      <c r="C27" s="31" t="n">
        <v>16</v>
      </c>
      <c r="E27" s="12" t="inlineStr">
        <is>
          <t>Contracts per month</t>
        </is>
      </c>
      <c r="F27" s="13" t="inlineStr">
        <is>
          <t>AI running cost per month</t>
        </is>
      </c>
    </row>
    <row r="28">
      <c r="B28" s="24" t="inlineStr">
        <is>
          <t>Total one-time cost</t>
        </is>
      </c>
      <c r="C28" s="25">
        <f>C24+C25*C26+C27*'Cost Savings'!E18</f>
        <v/>
      </c>
      <c r="E28" s="32" t="n">
        <v>9</v>
      </c>
      <c r="F28" s="21">
        <f>(Inference!$F$16+Embeddings!$D$30)/Inference!$C$14*E28+Infrastructure!$C$20</f>
        <v/>
      </c>
    </row>
    <row r="29">
      <c r="E29" s="32" t="n">
        <v>25</v>
      </c>
      <c r="F29" s="21">
        <f>(Inference!$F$16+Embeddings!$D$30)/Inference!$C$14*E29+Infrastructure!$C$20</f>
        <v/>
      </c>
    </row>
    <row r="30">
      <c r="E30" s="32" t="n">
        <v>50</v>
      </c>
      <c r="F30" s="21">
        <f>(Inference!$F$16+Embeddings!$D$30)/Inference!$C$14*E30+Infrastructure!$C$20</f>
        <v/>
      </c>
    </row>
    <row r="31">
      <c r="E31" s="33" t="n">
        <v>100</v>
      </c>
      <c r="F31" s="34">
        <f>(Inference!$F$16+Embeddings!$D$30)/Inference!$C$14*E31+Infrastructure!$C$20</f>
        <v/>
      </c>
    </row>
  </sheetData>
  <mergeCells count="5">
    <mergeCell ref="B11:C11"/>
    <mergeCell ref="B5:C5"/>
    <mergeCell ref="E11:F11"/>
    <mergeCell ref="B22:C22"/>
    <mergeCell ref="E26:F2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3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18" customWidth="1" min="12" max="12"/>
    <col width="20" customWidth="1" min="13" max="13"/>
    <col width="44" customWidth="1" min="14" max="14"/>
  </cols>
  <sheetData>
    <row r="2">
      <c r="B2" s="35" t="inlineStr">
        <is>
          <t>Inference — LLM cost per contract review (AtliQ Contract Risk Analyzer, production)</t>
        </is>
      </c>
    </row>
    <row r="4">
      <c r="B4" s="3" t="inlineStr">
        <is>
          <t>Base Calculation (per contract review)</t>
        </is>
      </c>
      <c r="C4" s="4" t="n"/>
      <c r="E4" s="3" t="inlineStr">
        <is>
          <t>Model Selection + Cost Estimation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56" customHeight="1">
      <c r="B5" s="12" t="inlineStr">
        <is>
          <t>Description</t>
        </is>
      </c>
      <c r="C5" s="13" t="inlineStr">
        <is>
          <t>Quantity (tokens)</t>
        </is>
      </c>
      <c r="E5" s="36" t="inlineStr">
        <is>
          <t>Model Name</t>
        </is>
      </c>
      <c r="F5" s="37" t="inlineStr">
        <is>
          <t>Input cost($) per 1M token</t>
        </is>
      </c>
      <c r="G5" s="37" t="inlineStr">
        <is>
          <t>Output cost($) per 1M token</t>
        </is>
      </c>
      <c r="H5" s="37" t="inlineStr">
        <is>
          <t>Cost per input review($)</t>
        </is>
      </c>
      <c r="I5" s="37" t="inlineStr">
        <is>
          <t>Cost per output review($)</t>
        </is>
      </c>
      <c r="J5" s="37" t="inlineStr">
        <is>
          <t>Total cost per review</t>
        </is>
      </c>
      <c r="K5" s="37" t="inlineStr">
        <is>
          <t>Review cost per month</t>
        </is>
      </c>
      <c r="L5" s="37" t="inlineStr">
        <is>
          <t>Extraction cost per month</t>
        </is>
      </c>
      <c r="M5" s="37" t="inlineStr">
        <is>
          <t>Total inference cost per month</t>
        </is>
      </c>
      <c r="N5" s="38" t="inlineStr">
        <is>
          <t>Pricing source</t>
        </is>
      </c>
    </row>
    <row r="6">
      <c r="B6" s="7" t="inlineStr">
        <is>
          <t>System prompt + guardrails</t>
        </is>
      </c>
      <c r="C6" s="31" t="n">
        <v>1200</v>
      </c>
      <c r="E6" s="39" t="inlineStr">
        <is>
          <t>GPT-6 Astra</t>
        </is>
      </c>
      <c r="F6" s="40" t="n">
        <v>10</v>
      </c>
      <c r="G6" s="40" t="n">
        <v>50</v>
      </c>
      <c r="H6" s="41">
        <f>F6*$C$11/1000000</f>
        <v/>
      </c>
      <c r="I6" s="41">
        <f>G6*$C$12/1000000</f>
        <v/>
      </c>
      <c r="J6" s="41">
        <f>H6+I6</f>
        <v/>
      </c>
      <c r="K6" s="42">
        <f>J6*$C$16</f>
        <v/>
      </c>
      <c r="L6" s="42">
        <f>(F6*$C$21+G6*$C$22)/1000000*$C$24</f>
        <v/>
      </c>
      <c r="M6" s="43">
        <f>K6+L6</f>
        <v/>
      </c>
      <c r="N6" s="44" t="inlineStr">
        <is>
          <t>pricepertoken.com (Sep 2026)</t>
        </is>
      </c>
    </row>
    <row r="7">
      <c r="B7" s="7" t="inlineStr">
        <is>
          <t>Review setup + deal context note</t>
        </is>
      </c>
      <c r="C7" s="31" t="n">
        <v>300</v>
      </c>
      <c r="E7" s="39" t="inlineStr">
        <is>
          <t>GPT-5.6 Sol</t>
        </is>
      </c>
      <c r="F7" s="40" t="n">
        <v>4</v>
      </c>
      <c r="G7" s="40" t="n">
        <v>20</v>
      </c>
      <c r="H7" s="41">
        <f>F7*$C$11/1000000</f>
        <v/>
      </c>
      <c r="I7" s="41">
        <f>G7*$C$12/1000000</f>
        <v/>
      </c>
      <c r="J7" s="41">
        <f>H7+I7</f>
        <v/>
      </c>
      <c r="K7" s="42">
        <f>J7*$C$16</f>
        <v/>
      </c>
      <c r="L7" s="42">
        <f>(F7*$C$21+G7*$C$22)/1000000*$C$24</f>
        <v/>
      </c>
      <c r="M7" s="43">
        <f>K7+L7</f>
        <v/>
      </c>
      <c r="N7" s="44" t="inlineStr">
        <is>
          <t>pricepertoken.com (Sep 2026) — promotional to 21 Nov 2026</t>
        </is>
      </c>
    </row>
    <row r="8">
      <c r="B8" s="7" t="inlineStr">
        <is>
          <t>Incoming contract text</t>
        </is>
      </c>
      <c r="C8" s="16">
        <f>C20*Embeddings!$D$3</f>
        <v/>
      </c>
      <c r="E8" s="39" t="inlineStr">
        <is>
          <t>GPT-5.6 Terra</t>
        </is>
      </c>
      <c r="F8" s="40" t="n">
        <v>2</v>
      </c>
      <c r="G8" s="40" t="n">
        <v>12</v>
      </c>
      <c r="H8" s="41">
        <f>F8*$C$11/1000000</f>
        <v/>
      </c>
      <c r="I8" s="41">
        <f>G8*$C$12/1000000</f>
        <v/>
      </c>
      <c r="J8" s="41">
        <f>H8+I8</f>
        <v/>
      </c>
      <c r="K8" s="42">
        <f>J8*$C$16</f>
        <v/>
      </c>
      <c r="L8" s="42">
        <f>(F8*$C$21+G8*$C$22)/1000000*$C$24</f>
        <v/>
      </c>
      <c r="M8" s="43">
        <f>K8+L8</f>
        <v/>
      </c>
      <c r="N8" s="44" t="inlineStr">
        <is>
          <t>pricepertoken.com (Sep 2026)</t>
        </is>
      </c>
    </row>
    <row r="9">
      <c r="B9" s="7" t="inlineStr">
        <is>
          <t>Retrieved commitments &amp; precedents (RAG)</t>
        </is>
      </c>
      <c r="C9" s="45">
        <f>8*400</f>
        <v/>
      </c>
      <c r="E9" s="39" t="inlineStr">
        <is>
          <t>Claude Opus</t>
        </is>
      </c>
      <c r="F9" s="40" t="n">
        <v>5</v>
      </c>
      <c r="G9" s="40" t="n">
        <v>25</v>
      </c>
      <c r="H9" s="41">
        <f>F9*$C$11/1000000</f>
        <v/>
      </c>
      <c r="I9" s="41">
        <f>G9*$C$12/1000000</f>
        <v/>
      </c>
      <c r="J9" s="41">
        <f>H9+I9</f>
        <v/>
      </c>
      <c r="K9" s="42">
        <f>J9*$C$16</f>
        <v/>
      </c>
      <c r="L9" s="42">
        <f>(F9*$C$21+G9*$C$22)/1000000*$C$24</f>
        <v/>
      </c>
      <c r="M9" s="43">
        <f>K9+L9</f>
        <v/>
      </c>
      <c r="N9" s="44" t="inlineStr">
        <is>
          <t>finout.io / morphllm.com (2026)</t>
        </is>
      </c>
    </row>
    <row r="10">
      <c r="B10" s="7" t="inlineStr">
        <is>
          <t>Rule-engine findings + contract outline</t>
        </is>
      </c>
      <c r="C10" s="31" t="n">
        <v>1200</v>
      </c>
      <c r="E10" s="39" t="inlineStr">
        <is>
          <t>Claude Sonnet</t>
        </is>
      </c>
      <c r="F10" s="40" t="n">
        <v>3</v>
      </c>
      <c r="G10" s="40" t="n">
        <v>15</v>
      </c>
      <c r="H10" s="41">
        <f>F10*$C$11/1000000</f>
        <v/>
      </c>
      <c r="I10" s="41">
        <f>G10*$C$12/1000000</f>
        <v/>
      </c>
      <c r="J10" s="41">
        <f>H10+I10</f>
        <v/>
      </c>
      <c r="K10" s="42">
        <f>J10*$C$16</f>
        <v/>
      </c>
      <c r="L10" s="42">
        <f>(F10*$C$21+G10*$C$22)/1000000*$C$24</f>
        <v/>
      </c>
      <c r="M10" s="43">
        <f>K10+L10</f>
        <v/>
      </c>
      <c r="N10" s="44" t="inlineStr">
        <is>
          <t>finout.io / morphllm.com (2026)</t>
        </is>
      </c>
    </row>
    <row r="11">
      <c r="B11" s="18" t="inlineStr">
        <is>
          <t>Total input tokens per review</t>
        </is>
      </c>
      <c r="C11" s="46">
        <f>SUM(C6:C10)</f>
        <v/>
      </c>
      <c r="E11" s="39" t="inlineStr">
        <is>
          <t>Claude Haiku</t>
        </is>
      </c>
      <c r="F11" s="40" t="n">
        <v>1</v>
      </c>
      <c r="G11" s="40" t="n">
        <v>5</v>
      </c>
      <c r="H11" s="41">
        <f>F11*$C$11/1000000</f>
        <v/>
      </c>
      <c r="I11" s="41">
        <f>G11*$C$12/1000000</f>
        <v/>
      </c>
      <c r="J11" s="41">
        <f>H11+I11</f>
        <v/>
      </c>
      <c r="K11" s="42">
        <f>J11*$C$16</f>
        <v/>
      </c>
      <c r="L11" s="42">
        <f>(F11*$C$21+G11*$C$22)/1000000*$C$24</f>
        <v/>
      </c>
      <c r="M11" s="43">
        <f>K11+L11</f>
        <v/>
      </c>
      <c r="N11" s="44" t="inlineStr">
        <is>
          <t>finout.io / morphllm.com (2026)</t>
        </is>
      </c>
    </row>
    <row r="12">
      <c r="B12" s="7" t="inlineStr">
        <is>
          <t>Total output tokens per review</t>
        </is>
      </c>
      <c r="C12" s="31" t="n">
        <v>4000</v>
      </c>
      <c r="E12" s="47" t="inlineStr">
        <is>
          <t>Groq gpt-oss-120b</t>
        </is>
      </c>
      <c r="F12" s="48" t="n">
        <v>0.15</v>
      </c>
      <c r="G12" s="48" t="n">
        <v>0.6</v>
      </c>
      <c r="H12" s="49">
        <f>F12*$C$11/1000000</f>
        <v/>
      </c>
      <c r="I12" s="49">
        <f>G12*$C$12/1000000</f>
        <v/>
      </c>
      <c r="J12" s="49">
        <f>H12+I12</f>
        <v/>
      </c>
      <c r="K12" s="50">
        <f>J12*$C$16</f>
        <v/>
      </c>
      <c r="L12" s="50">
        <f>(F12*$C$21+G12*$C$22)/1000000*$C$24</f>
        <v/>
      </c>
      <c r="M12" s="51">
        <f>K12+L12</f>
        <v/>
      </c>
      <c r="N12" s="52" t="inlineStr">
        <is>
          <t>flexprice.io / computeprices.com (Aug 2026) — used in prototype</t>
        </is>
      </c>
    </row>
    <row r="13">
      <c r="B13" s="18" t="inlineStr">
        <is>
          <t>Total tokens per review</t>
        </is>
      </c>
      <c r="C13" s="46">
        <f>C11+C12</f>
        <v/>
      </c>
    </row>
    <row r="14">
      <c r="B14" s="7" t="inlineStr">
        <is>
          <t>Contracts received per month</t>
        </is>
      </c>
      <c r="C14" s="29" t="n">
        <v>9</v>
      </c>
      <c r="E14" s="53" t="inlineStr">
        <is>
          <t>Selected model for production</t>
        </is>
      </c>
      <c r="F14" s="54" t="inlineStr">
        <is>
          <t>Claude Sonnet</t>
        </is>
      </c>
    </row>
    <row r="15">
      <c r="B15" s="7" t="inlineStr">
        <is>
          <t>Review runs per contract (incl. re-reviews)</t>
        </is>
      </c>
      <c r="C15" s="55" t="n">
        <v>2</v>
      </c>
      <c r="E15" s="7" t="inlineStr">
        <is>
          <t>Selected model — cost per review</t>
        </is>
      </c>
      <c r="F15" s="56">
        <f>INDEX($J$6:$J$12,MATCH($F$14,$E$6:$E$12,0))</f>
        <v/>
      </c>
    </row>
    <row r="16">
      <c r="B16" s="24" t="inlineStr">
        <is>
          <t>Total monthly reviews</t>
        </is>
      </c>
      <c r="C16" s="57">
        <f>C14*C15</f>
        <v/>
      </c>
      <c r="E16" s="18" t="inlineStr">
        <is>
          <t>Selected model — inference cost per month</t>
        </is>
      </c>
      <c r="F16" s="58">
        <f>INDEX($M$6:$M$12,MATCH($F$14,$E$6:$E$12,0))</f>
        <v/>
      </c>
    </row>
    <row r="17">
      <c r="E17" s="27" t="inlineStr">
        <is>
          <t>Selected model — inference cost per year</t>
        </is>
      </c>
      <c r="F17" s="59">
        <f>F16*12</f>
        <v/>
      </c>
    </row>
    <row r="18">
      <c r="B18" s="3" t="inlineStr">
        <is>
          <t>Commitment extraction (when a contract is signed)</t>
        </is>
      </c>
      <c r="C18" s="4" t="n"/>
    </row>
    <row r="19">
      <c r="B19" s="12" t="inlineStr">
        <is>
          <t>Description</t>
        </is>
      </c>
      <c r="C19" s="13" t="inlineStr">
        <is>
          <t>Quantity</t>
        </is>
      </c>
    </row>
    <row r="20">
      <c r="B20" s="7" t="inlineStr">
        <is>
          <t>Average words per contract</t>
        </is>
      </c>
      <c r="C20" s="29" t="n">
        <v>6000</v>
      </c>
    </row>
    <row r="21">
      <c r="B21" s="7" t="inlineStr">
        <is>
          <t>Extraction input tokens</t>
        </is>
      </c>
      <c r="C21" s="16">
        <f>800+C20*Embeddings!$D$3</f>
        <v/>
      </c>
    </row>
    <row r="22">
      <c r="B22" s="7" t="inlineStr">
        <is>
          <t>Extraction output tokens</t>
        </is>
      </c>
      <c r="C22" s="31" t="n">
        <v>1500</v>
      </c>
    </row>
    <row r="23">
      <c r="B23" s="7" t="inlineStr">
        <is>
          <t>Share of contracts that get signed</t>
        </is>
      </c>
      <c r="C23" s="60" t="n">
        <v>0.7</v>
      </c>
    </row>
    <row r="24">
      <c r="B24" s="24" t="inlineStr">
        <is>
          <t>Contracts signed per month</t>
        </is>
      </c>
      <c r="C24" s="61">
        <f>C14*C23</f>
        <v/>
      </c>
    </row>
  </sheetData>
  <mergeCells count="3">
    <mergeCell ref="B18:C18"/>
    <mergeCell ref="B4:C4"/>
    <mergeCell ref="E4:N4"/>
  </mergeCells>
  <dataValidations count="1">
    <dataValidation sqref="F14" showDropDown="0" showInputMessage="0" showErrorMessage="0" allowBlank="0" type="list">
      <formula1>=$E$6:$E$12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2" customWidth="1" min="3" max="3"/>
    <col width="18" customWidth="1" min="4" max="4"/>
    <col width="3" customWidth="1" min="5" max="5"/>
    <col width="40" customWidth="1" min="6" max="6"/>
    <col width="16" customWidth="1" min="7" max="7"/>
    <col width="3" customWidth="1" min="8" max="8"/>
    <col width="34" customWidth="1" min="9" max="9"/>
    <col width="15" customWidth="1" min="10" max="10"/>
  </cols>
  <sheetData>
    <row r="1">
      <c r="B1" s="35" t="inlineStr">
        <is>
          <t>Embeddings — indexing AtliQ's contract memory for retrieval (RAG)</t>
        </is>
      </c>
    </row>
    <row r="3">
      <c r="C3" s="62" t="inlineStr">
        <is>
          <t>Token/word</t>
        </is>
      </c>
      <c r="D3" s="63" t="n">
        <v>1.3</v>
      </c>
    </row>
    <row r="5">
      <c r="C5" s="3" t="inlineStr">
        <is>
          <t>Signed contracts &amp; annexures</t>
        </is>
      </c>
      <c r="D5" s="4" t="n"/>
      <c r="F5" s="3" t="inlineStr">
        <is>
          <t>Emails &amp; negotiation notes</t>
        </is>
      </c>
      <c r="G5" s="4" t="n"/>
      <c r="I5" s="3" t="inlineStr">
        <is>
          <t>Meeting notes &amp; tracker</t>
        </is>
      </c>
      <c r="J5" s="4" t="n"/>
    </row>
    <row r="6">
      <c r="C6" s="64" t="inlineStr">
        <is>
          <t>Component</t>
        </is>
      </c>
      <c r="D6" s="65" t="inlineStr">
        <is>
          <t>Quantity</t>
        </is>
      </c>
      <c r="F6" s="64" t="inlineStr">
        <is>
          <t>Component</t>
        </is>
      </c>
      <c r="G6" s="65" t="inlineStr">
        <is>
          <t>Quantity</t>
        </is>
      </c>
      <c r="I6" s="64" t="inlineStr">
        <is>
          <t>Component</t>
        </is>
      </c>
      <c r="J6" s="65" t="inlineStr">
        <is>
          <t>Quantity</t>
        </is>
      </c>
    </row>
    <row r="7">
      <c r="C7" s="7" t="inlineStr">
        <is>
          <t>Number of signed documents</t>
        </is>
      </c>
      <c r="D7" s="31" t="n">
        <v>150</v>
      </c>
      <c r="F7" s="7" t="inlineStr">
        <is>
          <t>Number of emails / notes</t>
        </is>
      </c>
      <c r="G7" s="31" t="n">
        <v>3000</v>
      </c>
      <c r="I7" s="7" t="inlineStr">
        <is>
          <t>Number of notes / entries</t>
        </is>
      </c>
      <c r="J7" s="31" t="n">
        <v>300</v>
      </c>
    </row>
    <row r="8">
      <c r="C8" s="7" t="inlineStr">
        <is>
          <t>Number of words per document</t>
        </is>
      </c>
      <c r="D8" s="31" t="n">
        <v>6000</v>
      </c>
      <c r="F8" s="7" t="inlineStr">
        <is>
          <t>Number of words per item</t>
        </is>
      </c>
      <c r="G8" s="31" t="n">
        <v>250</v>
      </c>
      <c r="I8" s="7" t="inlineStr">
        <is>
          <t>Number of words per item</t>
        </is>
      </c>
      <c r="J8" s="31" t="n">
        <v>500</v>
      </c>
    </row>
    <row r="9">
      <c r="C9" s="7" t="inlineStr">
        <is>
          <t>Total number of words</t>
        </is>
      </c>
      <c r="D9" s="45">
        <f>D7*D8</f>
        <v/>
      </c>
      <c r="F9" s="7" t="inlineStr">
        <is>
          <t>Total number of words</t>
        </is>
      </c>
      <c r="G9" s="45">
        <f>G7*G8</f>
        <v/>
      </c>
      <c r="I9" s="7" t="inlineStr">
        <is>
          <t>Total number of words</t>
        </is>
      </c>
      <c r="J9" s="45">
        <f>J7*J8</f>
        <v/>
      </c>
    </row>
    <row r="10">
      <c r="C10" s="24" t="inlineStr">
        <is>
          <t>Total tokens</t>
        </is>
      </c>
      <c r="D10" s="57">
        <f>D9*$D$3</f>
        <v/>
      </c>
      <c r="F10" s="24" t="inlineStr">
        <is>
          <t>Total tokens</t>
        </is>
      </c>
      <c r="G10" s="57">
        <f>G9*$D$3</f>
        <v/>
      </c>
      <c r="I10" s="24" t="inlineStr">
        <is>
          <t>Total tokens</t>
        </is>
      </c>
      <c r="J10" s="57">
        <f>J9*$D$3</f>
        <v/>
      </c>
    </row>
    <row r="13">
      <c r="C13" s="3" t="inlineStr">
        <is>
          <t>RAG Embeddings — one-time indexing</t>
        </is>
      </c>
      <c r="D13" s="4" t="n"/>
      <c r="F13" s="3" t="inlineStr">
        <is>
          <t>Monthly new documents</t>
        </is>
      </c>
      <c r="G13" s="4" t="n"/>
    </row>
    <row r="14">
      <c r="C14" s="64" t="inlineStr">
        <is>
          <t>Component</t>
        </is>
      </c>
      <c r="D14" s="65" t="inlineStr">
        <is>
          <t>Cost/Quantity</t>
        </is>
      </c>
      <c r="F14" s="64" t="inlineStr">
        <is>
          <t>Component</t>
        </is>
      </c>
      <c r="G14" s="65" t="inlineStr">
        <is>
          <t>Cost/Quantity</t>
        </is>
      </c>
    </row>
    <row r="15">
      <c r="C15" s="7" t="inlineStr">
        <is>
          <t>Total tokens for RAG corpus</t>
        </is>
      </c>
      <c r="D15" s="45">
        <f>D10+G10+J10</f>
        <v/>
      </c>
      <c r="F15" s="7" t="inlineStr">
        <is>
          <t>Contract versions embedded per month</t>
        </is>
      </c>
      <c r="G15" s="16">
        <f>Inference!C16</f>
        <v/>
      </c>
    </row>
    <row r="16">
      <c r="C16" s="7" t="inlineStr">
        <is>
          <t>Cost per 1M token</t>
        </is>
      </c>
      <c r="D16" s="66" t="n">
        <v>0.13</v>
      </c>
      <c r="F16" s="7" t="inlineStr">
        <is>
          <t>Words per contract</t>
        </is>
      </c>
      <c r="G16" s="16">
        <f>Inference!C20</f>
        <v/>
      </c>
    </row>
    <row r="17">
      <c r="C17" s="24" t="inlineStr">
        <is>
          <t>Total one-time cost for RAG indexing</t>
        </is>
      </c>
      <c r="D17" s="67">
        <f>D15*D16/1000000</f>
        <v/>
      </c>
      <c r="F17" s="7" t="inlineStr">
        <is>
          <t>New emails / notes per month</t>
        </is>
      </c>
      <c r="G17" s="31" t="n">
        <v>200</v>
      </c>
    </row>
    <row r="18">
      <c r="F18" s="7" t="inlineStr">
        <is>
          <t>Words per email / note</t>
        </is>
      </c>
      <c r="G18" s="31" t="n">
        <v>250</v>
      </c>
    </row>
    <row r="19">
      <c r="F19" s="7" t="inlineStr">
        <is>
          <t>New tokens per month</t>
        </is>
      </c>
      <c r="G19" s="45">
        <f>(G15*G16+G17*G18)*$D$3</f>
        <v/>
      </c>
    </row>
    <row r="20">
      <c r="C20" s="3" t="inlineStr">
        <is>
          <t>Retrieval Query Embeddings</t>
        </is>
      </c>
      <c r="D20" s="4" t="n"/>
      <c r="F20" s="7" t="inlineStr">
        <is>
          <t>Cost per 1M token</t>
        </is>
      </c>
      <c r="G20" s="68">
        <f>$D$16</f>
        <v/>
      </c>
    </row>
    <row r="21">
      <c r="C21" s="64" t="inlineStr">
        <is>
          <t>Component</t>
        </is>
      </c>
      <c r="D21" s="65" t="inlineStr">
        <is>
          <t>Cost/Quantity</t>
        </is>
      </c>
      <c r="F21" s="24" t="inlineStr">
        <is>
          <t>Total cost for new documents</t>
        </is>
      </c>
      <c r="G21" s="67">
        <f>G19*G20/1000000</f>
        <v/>
      </c>
    </row>
    <row r="22">
      <c r="C22" s="7" t="inlineStr">
        <is>
          <t>Retrieval queries per review</t>
        </is>
      </c>
      <c r="D22" s="31" t="n">
        <v>12</v>
      </c>
    </row>
    <row r="23">
      <c r="C23" s="7" t="inlineStr">
        <is>
          <t>Tokens per retrieval query</t>
        </is>
      </c>
      <c r="D23" s="31" t="n">
        <v>60</v>
      </c>
    </row>
    <row r="24">
      <c r="C24" s="7" t="inlineStr">
        <is>
          <t>Reviews per month</t>
        </is>
      </c>
      <c r="D24" s="16">
        <f>Inference!C16</f>
        <v/>
      </c>
    </row>
    <row r="25">
      <c r="C25" s="7" t="inlineStr">
        <is>
          <t>Total tokens per month</t>
        </is>
      </c>
      <c r="D25" s="45">
        <f>D22*D23*D24</f>
        <v/>
      </c>
    </row>
    <row r="26">
      <c r="C26" s="7" t="inlineStr">
        <is>
          <t>Cost per 1M token</t>
        </is>
      </c>
      <c r="D26" s="68">
        <f>$D$16</f>
        <v/>
      </c>
    </row>
    <row r="27">
      <c r="C27" s="24" t="inlineStr">
        <is>
          <t>Total cost for query embeddings</t>
        </is>
      </c>
      <c r="D27" s="67">
        <f>D25*D26/1000000</f>
        <v/>
      </c>
    </row>
    <row r="30">
      <c r="C30" s="64" t="inlineStr">
        <is>
          <t>Total cost of Embeddings per month</t>
        </is>
      </c>
      <c r="D30" s="69">
        <f>G21+D27</f>
        <v/>
      </c>
    </row>
    <row r="31">
      <c r="C31" s="24" t="inlineStr">
        <is>
          <t>One-time indexing cost (RAG corpus)</t>
        </is>
      </c>
      <c r="D31" s="67">
        <f>D17</f>
        <v/>
      </c>
    </row>
  </sheetData>
  <mergeCells count="6">
    <mergeCell ref="C20:D20"/>
    <mergeCell ref="F5:G5"/>
    <mergeCell ref="C5:D5"/>
    <mergeCell ref="I5:J5"/>
    <mergeCell ref="C13:D13"/>
    <mergeCell ref="F13:G1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90" customWidth="1" min="4" max="4"/>
  </cols>
  <sheetData>
    <row r="1">
      <c r="B1" s="35" t="inlineStr">
        <is>
          <t>Infrastructure — monthly hosting and services (production)</t>
        </is>
      </c>
    </row>
    <row r="3">
      <c r="B3" s="3" t="inlineStr">
        <is>
          <t>Document processing (scanned PDFs)</t>
        </is>
      </c>
      <c r="C3" s="4" t="n"/>
      <c r="D3" s="4" t="n"/>
    </row>
    <row r="4">
      <c r="B4" s="64" t="inlineStr">
        <is>
          <t>Component</t>
        </is>
      </c>
      <c r="C4" s="70" t="inlineStr">
        <is>
          <t>Quantity</t>
        </is>
      </c>
      <c r="D4" s="65" t="inlineStr">
        <is>
          <t>Note</t>
        </is>
      </c>
    </row>
    <row r="5">
      <c r="B5" s="7" t="inlineStr">
        <is>
          <t>Contract versions per month</t>
        </is>
      </c>
      <c r="C5" s="71">
        <f>Inference!C16</f>
        <v/>
      </c>
      <c r="D5" s="44" t="n"/>
    </row>
    <row r="6">
      <c r="B6" s="7" t="inlineStr">
        <is>
          <t>Average pages per contract</t>
        </is>
      </c>
      <c r="C6" s="72" t="n">
        <v>15</v>
      </c>
      <c r="D6" s="44" t="n"/>
    </row>
    <row r="7">
      <c r="B7" s="7" t="inlineStr">
        <is>
          <t>Share of scanned documents needing OCR</t>
        </is>
      </c>
      <c r="C7" s="73" t="n">
        <v>0.2</v>
      </c>
      <c r="D7" s="44" t="n"/>
    </row>
    <row r="8">
      <c r="B8" s="7" t="inlineStr">
        <is>
          <t>OCR price per 1,000 pages</t>
        </is>
      </c>
      <c r="C8" s="40" t="n">
        <v>1.5</v>
      </c>
      <c r="D8" s="44" t="n"/>
    </row>
    <row r="9">
      <c r="B9" s="24" t="inlineStr">
        <is>
          <t>OCR cost per month</t>
        </is>
      </c>
      <c r="C9" s="74">
        <f>C5*C6*C7*C8/1000</f>
        <v/>
      </c>
      <c r="D9" s="52" t="inlineStr">
        <is>
          <t>Scanned pages × price</t>
        </is>
      </c>
    </row>
    <row r="12">
      <c r="B12" s="3" t="inlineStr">
        <is>
          <t>Monthly infrastructure cost</t>
        </is>
      </c>
      <c r="C12" s="4" t="n"/>
      <c r="D12" s="4" t="n"/>
    </row>
    <row r="13">
      <c r="B13" s="64" t="inlineStr">
        <is>
          <t>Component</t>
        </is>
      </c>
      <c r="C13" s="70" t="inlineStr">
        <is>
          <t>Cost per month</t>
        </is>
      </c>
      <c r="D13" s="65" t="inlineStr">
        <is>
          <t>Source / note</t>
        </is>
      </c>
    </row>
    <row r="14">
      <c r="B14" s="7" t="inlineStr">
        <is>
          <t>Web app hosting (Vercel Pro, 1 seat)</t>
        </is>
      </c>
      <c r="C14" s="40" t="n">
        <v>20</v>
      </c>
      <c r="D14" s="44" t="inlineStr">
        <is>
          <t>Vercel Pro $20/seat/month incl. $20 usage credit (makerkit.dev, 2026). Hobby (free) does not allow commercial use.</t>
        </is>
      </c>
    </row>
    <row r="15">
      <c r="B15" s="7" t="inlineStr">
        <is>
          <t>Database + vector store (Supabase Pro, pgvector)</t>
        </is>
      </c>
      <c r="C15" s="40" t="n">
        <v>25</v>
      </c>
      <c r="D15" s="44" t="inlineStr">
        <is>
          <t>Supabase Pro $25/month incl. $10 compute credit (focusreactive.com / supabase.com, 2026).</t>
        </is>
      </c>
    </row>
    <row r="16">
      <c r="B16" s="7" t="inlineStr">
        <is>
          <t>Document OCR</t>
        </is>
      </c>
      <c r="C16" s="42">
        <f>C9</f>
        <v/>
      </c>
      <c r="D16" s="44" t="inlineStr">
        <is>
          <t>From the document-processing block above.</t>
        </is>
      </c>
    </row>
    <row r="17">
      <c r="B17" s="7" t="inlineStr">
        <is>
          <t>File storage &amp; backups</t>
        </is>
      </c>
      <c r="C17" s="40" t="n">
        <v>5</v>
      </c>
      <c r="D17" s="44" t="inlineStr">
        <is>
          <t>Contract files and generated reports (estimate).</t>
        </is>
      </c>
    </row>
    <row r="18">
      <c r="B18" s="7" t="inlineStr">
        <is>
          <t>Monitoring, logging &amp; error alerts</t>
        </is>
      </c>
      <c r="C18" s="40" t="n">
        <v>0</v>
      </c>
      <c r="D18" s="44" t="inlineStr">
        <is>
          <t>Free tiers sufficient at this volume (estimate).</t>
        </is>
      </c>
    </row>
    <row r="19">
      <c r="B19" s="7" t="inlineStr">
        <is>
          <t>Sign-in / SSO (company identity provider)</t>
        </is>
      </c>
      <c r="C19" s="40" t="n">
        <v>0</v>
      </c>
      <c r="D19" s="44" t="inlineStr">
        <is>
          <t>Uses AtliQ's existing Google Workspace / Microsoft 365 (assumption).</t>
        </is>
      </c>
    </row>
    <row r="20">
      <c r="B20" s="24" t="inlineStr">
        <is>
          <t>Total infrastructure cost per month</t>
        </is>
      </c>
      <c r="C20" s="74">
        <f>SUM(C14:C19)</f>
        <v/>
      </c>
      <c r="D20" s="75" t="n"/>
    </row>
  </sheetData>
  <mergeCells count="2">
    <mergeCell ref="B12:D12"/>
    <mergeCell ref="B3:D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1:H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62" customWidth="1" min="4" max="4"/>
    <col width="20" customWidth="1" min="5" max="5"/>
    <col width="3" customWidth="1" min="6" max="6"/>
    <col width="52" customWidth="1" min="7" max="7"/>
    <col width="20" customWidth="1" min="8" max="8"/>
  </cols>
  <sheetData>
    <row r="1">
      <c r="C1" s="35" t="inlineStr">
        <is>
          <t>Cost Savings — manual contract review vs. AI Contract Risk Analyzer (per month)</t>
        </is>
      </c>
    </row>
    <row r="3">
      <c r="D3" s="3" t="inlineStr">
        <is>
          <t>Calculating manual review effort (today)</t>
        </is>
      </c>
      <c r="E3" s="4" t="n"/>
      <c r="G3" s="3" t="inlineStr">
        <is>
          <t>Risk avoided (not included in % savings above)</t>
        </is>
      </c>
      <c r="H3" s="4" t="n"/>
    </row>
    <row r="4">
      <c r="D4" s="12" t="inlineStr">
        <is>
          <t>Component</t>
        </is>
      </c>
      <c r="E4" s="13" t="inlineStr">
        <is>
          <t>Quantity</t>
        </is>
      </c>
      <c r="G4" s="12" t="inlineStr">
        <is>
          <t>Component</t>
        </is>
      </c>
      <c r="H4" s="13" t="inlineStr">
        <is>
          <t>Cost</t>
        </is>
      </c>
    </row>
    <row r="5">
      <c r="D5" s="7" t="inlineStr">
        <is>
          <t>Complex contracts per month (MSAs, partnerships, BAAs)</t>
        </is>
      </c>
      <c r="E5" s="31" t="n">
        <v>4</v>
      </c>
      <c r="G5" s="7" t="inlineStr">
        <is>
          <t>Brightwater-type incident: settlement</t>
        </is>
      </c>
      <c r="H5" s="30" t="n">
        <v>9000</v>
      </c>
    </row>
    <row r="6">
      <c r="D6" s="7" t="inlineStr">
        <is>
          <t>CEO hours per complex review</t>
        </is>
      </c>
      <c r="E6" s="55" t="n">
        <v>7</v>
      </c>
      <c r="G6" s="7" t="inlineStr">
        <is>
          <t>Brightwater-type incident: counsel fees</t>
        </is>
      </c>
      <c r="H6" s="30" t="n">
        <v>14200</v>
      </c>
    </row>
    <row r="7">
      <c r="D7" s="7" t="inlineStr">
        <is>
          <t>Standard contracts per month (NDAs, SOWs)</t>
        </is>
      </c>
      <c r="E7" s="31" t="n">
        <v>5</v>
      </c>
      <c r="G7" s="7" t="inlineStr">
        <is>
          <t>Brightwater-type incident: senior time lost</t>
        </is>
      </c>
      <c r="H7" s="21">
        <f>80*E19</f>
        <v/>
      </c>
    </row>
    <row r="8">
      <c r="D8" s="7" t="inlineStr">
        <is>
          <t>CEO hours per standard review</t>
        </is>
      </c>
      <c r="E8" s="55" t="n">
        <v>2</v>
      </c>
      <c r="G8" s="76" t="inlineStr">
        <is>
          <t>Cost of one incident</t>
        </is>
      </c>
      <c r="H8" s="77">
        <f>SUM(H5:H7)</f>
        <v/>
      </c>
    </row>
    <row r="9">
      <c r="D9" s="7" t="inlineStr">
        <is>
          <t>Re-review cycles per month (negotiated versions)</t>
        </is>
      </c>
      <c r="E9" s="22">
        <f>Inference!C14*(Inference!C15-1)</f>
        <v/>
      </c>
      <c r="G9" s="7" t="inlineStr">
        <is>
          <t>Incidents avoided per year</t>
        </is>
      </c>
      <c r="H9" s="78" t="n">
        <v>1</v>
      </c>
    </row>
    <row r="10">
      <c r="D10" s="7" t="inlineStr">
        <is>
          <t>CEO hours per re-review</t>
        </is>
      </c>
      <c r="E10" s="55" t="n">
        <v>1.5</v>
      </c>
      <c r="G10" s="7" t="inlineStr">
        <is>
          <t>Deal lost to review-queue delay (SOW value)</t>
        </is>
      </c>
      <c r="H10" s="30" t="n">
        <v>55000</v>
      </c>
    </row>
    <row r="11">
      <c r="D11" s="18" t="inlineStr">
        <is>
          <t>Total CEO review hours per month</t>
        </is>
      </c>
      <c r="E11" s="26">
        <f>E5*E6+E7*E8+E9*E10</f>
        <v/>
      </c>
      <c r="G11" s="7" t="inlineStr">
        <is>
          <t>Gross margin on lost deals</t>
        </is>
      </c>
      <c r="H11" s="60" t="n">
        <v>0.35</v>
      </c>
    </row>
    <row r="12">
      <c r="D12" s="7" t="inlineStr">
        <is>
          <t>Stakeholder hours per contract (finding past contracts, emails)</t>
        </is>
      </c>
      <c r="E12" s="55" t="n">
        <v>2</v>
      </c>
      <c r="G12" s="7" t="inlineStr">
        <is>
          <t>Deals saved per year by faster turnaround</t>
        </is>
      </c>
      <c r="H12" s="55" t="n">
        <v>1</v>
      </c>
    </row>
    <row r="13">
      <c r="D13" s="24" t="inlineStr">
        <is>
          <t>Total stakeholder hours per month</t>
        </is>
      </c>
      <c r="E13" s="61">
        <f>E12*(E5+E7)</f>
        <v/>
      </c>
      <c r="G13" s="18" t="inlineStr">
        <is>
          <t>Risk &amp; revenue protected per year</t>
        </is>
      </c>
      <c r="H13" s="23">
        <f>H8*H9+H10*H11*H12</f>
        <v/>
      </c>
    </row>
    <row r="14">
      <c r="G14" s="24" t="inlineStr">
        <is>
          <t>Risk &amp; revenue protected per month</t>
        </is>
      </c>
      <c r="H14" s="25">
        <f>H13/12</f>
        <v/>
      </c>
    </row>
    <row r="16">
      <c r="D16" s="3" t="inlineStr">
        <is>
          <t>Total monthly cost of manual review</t>
        </is>
      </c>
      <c r="E16" s="4" t="n"/>
    </row>
    <row r="17">
      <c r="D17" s="12" t="inlineStr">
        <is>
          <t>Component</t>
        </is>
      </c>
      <c r="E17" s="13" t="inlineStr">
        <is>
          <t>Cost</t>
        </is>
      </c>
    </row>
    <row r="18">
      <c r="D18" s="7" t="inlineStr">
        <is>
          <t>CEO cost per hour (opportunity cost)</t>
        </is>
      </c>
      <c r="E18" s="79" t="n">
        <v>150</v>
      </c>
    </row>
    <row r="19">
      <c r="D19" s="7" t="inlineStr">
        <is>
          <t>Stakeholder cost per hour</t>
        </is>
      </c>
      <c r="E19" s="30" t="n">
        <v>35</v>
      </c>
    </row>
    <row r="20">
      <c r="D20" s="7" t="inlineStr">
        <is>
          <t>Outside counsel spend per month</t>
        </is>
      </c>
      <c r="E20" s="79" t="n">
        <v>1500</v>
      </c>
    </row>
    <row r="21">
      <c r="D21" s="7" t="inlineStr">
        <is>
          <t>CEO review cost per month</t>
        </is>
      </c>
      <c r="E21" s="21">
        <f>E11*E18</f>
        <v/>
      </c>
    </row>
    <row r="22">
      <c r="D22" s="7" t="inlineStr">
        <is>
          <t>Stakeholder cost per month</t>
        </is>
      </c>
      <c r="E22" s="21">
        <f>E13*E19</f>
        <v/>
      </c>
    </row>
    <row r="23">
      <c r="D23" s="24" t="inlineStr">
        <is>
          <t>Total cost of manual review per month</t>
        </is>
      </c>
      <c r="E23" s="25">
        <f>E20+E21+E22</f>
        <v/>
      </c>
    </row>
    <row r="26">
      <c r="D26" s="3" t="inlineStr">
        <is>
          <t>Cost with AI Contract Risk Analyzer</t>
        </is>
      </c>
      <c r="E26" s="4" t="n"/>
    </row>
    <row r="27">
      <c r="D27" s="12" t="inlineStr">
        <is>
          <t>Component</t>
        </is>
      </c>
      <c r="E27" s="13" t="inlineStr">
        <is>
          <t>Cost</t>
        </is>
      </c>
    </row>
    <row r="28">
      <c r="D28" s="7" t="inlineStr">
        <is>
          <t>Reduction in CEO review effort</t>
        </is>
      </c>
      <c r="E28" s="80" t="n">
        <v>0.5</v>
      </c>
    </row>
    <row r="29">
      <c r="D29" s="7" t="inlineStr">
        <is>
          <t>Reduction in stakeholder search time</t>
        </is>
      </c>
      <c r="E29" s="60" t="n">
        <v>0.75</v>
      </c>
    </row>
    <row r="30">
      <c r="D30" s="7" t="inlineStr">
        <is>
          <t>Reduction in outside counsel spend</t>
        </is>
      </c>
      <c r="E30" s="60" t="n">
        <v>0.3</v>
      </c>
    </row>
    <row r="31">
      <c r="D31" s="7" t="inlineStr">
        <is>
          <t>Remaining CEO review cost</t>
        </is>
      </c>
      <c r="E31" s="21">
        <f>E21*(1-E28)</f>
        <v/>
      </c>
    </row>
    <row r="32">
      <c r="D32" s="7" t="inlineStr">
        <is>
          <t>Remaining stakeholder cost</t>
        </is>
      </c>
      <c r="E32" s="21">
        <f>E22*(1-E29)</f>
        <v/>
      </c>
    </row>
    <row r="33">
      <c r="D33" s="7" t="inlineStr">
        <is>
          <t>Remaining outside counsel spend</t>
        </is>
      </c>
      <c r="E33" s="21">
        <f>E20*(1-E30)</f>
        <v/>
      </c>
    </row>
    <row r="34">
      <c r="D34" s="7" t="inlineStr">
        <is>
          <t>Inference cost (selected model)</t>
        </is>
      </c>
      <c r="E34" s="15">
        <f>Inference!F16</f>
        <v/>
      </c>
    </row>
    <row r="35">
      <c r="D35" s="7" t="inlineStr">
        <is>
          <t>Embeddings cost</t>
        </is>
      </c>
      <c r="E35" s="15">
        <f>Embeddings!D30</f>
        <v/>
      </c>
    </row>
    <row r="36">
      <c r="D36" s="7" t="inlineStr">
        <is>
          <t>Infrastructure cost</t>
        </is>
      </c>
      <c r="E36" s="15">
        <f>Infrastructure!C20</f>
        <v/>
      </c>
    </row>
    <row r="37">
      <c r="D37" s="76" t="inlineStr">
        <is>
          <t>Total AI running cost per month</t>
        </is>
      </c>
      <c r="E37" s="77">
        <f>E34+E35+E36</f>
        <v/>
      </c>
    </row>
    <row r="38">
      <c r="D38" s="24" t="inlineStr">
        <is>
          <t>Total cost with AI Contract Risk Analyzer per month</t>
        </is>
      </c>
      <c r="E38" s="25">
        <f>E31+E32+E33+E37</f>
        <v/>
      </c>
    </row>
    <row r="41">
      <c r="D41" s="64" t="inlineStr">
        <is>
          <t>Total Savings (per month)</t>
        </is>
      </c>
      <c r="E41" s="81">
        <f>E23-E38</f>
        <v/>
      </c>
    </row>
    <row r="42">
      <c r="D42" s="18" t="inlineStr">
        <is>
          <t>% Savings</t>
        </is>
      </c>
      <c r="E42" s="82">
        <f>IF(E23=0,0,E41/E23)</f>
        <v/>
      </c>
    </row>
    <row r="43">
      <c r="D43" s="24" t="inlineStr">
        <is>
          <t>CEO hours freed per month</t>
        </is>
      </c>
      <c r="E43" s="61">
        <f>E11*E28</f>
        <v/>
      </c>
    </row>
  </sheetData>
  <mergeCells count="4">
    <mergeCell ref="D3:E3"/>
    <mergeCell ref="D16:E16"/>
    <mergeCell ref="G3:H3"/>
    <mergeCell ref="D26:E26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0" customWidth="1" min="3" max="3"/>
    <col width="24" customWidth="1" min="4" max="4"/>
    <col width="80" customWidth="1" min="5" max="5"/>
  </cols>
  <sheetData>
    <row r="1">
      <c r="B1" s="35" t="inlineStr">
        <is>
          <t>Assumptions &amp; sources</t>
        </is>
      </c>
    </row>
    <row r="3">
      <c r="B3" s="64" t="inlineStr">
        <is>
          <t>Area</t>
        </is>
      </c>
      <c r="C3" s="70" t="inlineStr">
        <is>
          <t>Assumption</t>
        </is>
      </c>
      <c r="D3" s="70" t="inlineStr">
        <is>
          <t>Value / where</t>
        </is>
      </c>
      <c r="E3" s="65" t="inlineStr">
        <is>
          <t>Source</t>
        </is>
      </c>
    </row>
    <row r="4">
      <c r="B4" s="83" t="inlineStr">
        <is>
          <t>Volume</t>
        </is>
      </c>
      <c r="C4" s="84" t="inlineStr">
        <is>
          <t>Contracts received per month</t>
        </is>
      </c>
      <c r="D4" s="84" t="inlineStr">
        <is>
          <t>Inference!C14</t>
        </is>
      </c>
      <c r="E4" s="85" t="inlineStr">
        <is>
          <t>Dataset: 22 Sep 2026 contract-queue meeting (~9/month in 2026, ~5 in 2025)</t>
        </is>
      </c>
    </row>
    <row r="5">
      <c r="B5" s="83" t="inlineStr">
        <is>
          <t>Volume</t>
        </is>
      </c>
      <c r="C5" s="84" t="inlineStr">
        <is>
          <t>Re-reviews: every negotiated version reviewed in full</t>
        </is>
      </c>
      <c r="D5" s="84" t="inlineStr">
        <is>
          <t>Inference!C15</t>
        </is>
      </c>
      <c r="E5" s="85" t="inlineStr">
        <is>
          <t>MVP assumptions (#9), client meeting 2</t>
        </is>
      </c>
    </row>
    <row r="6">
      <c r="B6" s="83" t="inlineStr">
        <is>
          <t>Baseline effort</t>
        </is>
      </c>
      <c r="C6" s="84" t="inlineStr">
        <is>
          <t>~2 h standard review, 6–8 h complex; 3–4 contracts + 4–5 NDAs per month</t>
        </is>
      </c>
      <c r="D6" s="84" t="inlineStr">
        <is>
          <t>Cost Savings!E5:E8</t>
        </is>
      </c>
      <c r="E6" s="85" t="inlineStr">
        <is>
          <t>MVP assumptions (#11), client meeting 2</t>
        </is>
      </c>
    </row>
    <row r="7">
      <c r="B7" s="83" t="inlineStr">
        <is>
          <t>Target</t>
        </is>
      </c>
      <c r="C7" s="84" t="inlineStr">
        <is>
          <t>50% reduction in median human review effort</t>
        </is>
      </c>
      <c r="D7" s="84" t="inlineStr">
        <is>
          <t>Cost Savings!E28</t>
        </is>
      </c>
      <c r="E7" s="85" t="inlineStr">
        <is>
          <t>PRD §12 Success Metrics — North Star</t>
        </is>
      </c>
    </row>
    <row r="8">
      <c r="B8" s="83" t="inlineStr">
        <is>
          <t>Value of time</t>
        </is>
      </c>
      <c r="C8" s="84" t="inlineStr">
        <is>
          <t>CEO opportunity cost $150/h; stakeholder $35/h</t>
        </is>
      </c>
      <c r="D8" s="84" t="inlineStr">
        <is>
          <t>Cost Savings!E18:E19</t>
        </is>
      </c>
      <c r="E8" s="85" t="inlineStr">
        <is>
          <t>Assumption — validate with leadership</t>
        </is>
      </c>
    </row>
    <row r="9">
      <c r="B9" s="83" t="inlineStr">
        <is>
          <t>Counsel</t>
        </is>
      </c>
      <c r="C9" s="84" t="inlineStr">
        <is>
          <t>CareBridge BAA review $3,800; Gulf Crown review ₹1,20,000</t>
        </is>
      </c>
      <c r="D9" s="84" t="inlineStr">
        <is>
          <t>Cost Savings!E20</t>
        </is>
      </c>
      <c r="E9" s="85" t="inlineStr">
        <is>
          <t>Dataset: negotiation notes, 25 Sep 2026 counsel call</t>
        </is>
      </c>
    </row>
    <row r="10">
      <c r="B10" s="83" t="inlineStr">
        <is>
          <t>Risk</t>
        </is>
      </c>
      <c r="C10" s="84" t="inlineStr">
        <is>
          <t>Brightwater: $9,000 settlement + $14,200 counsel + ~2 weeks senior time</t>
        </is>
      </c>
      <c r="D10" s="84" t="inlineStr">
        <is>
          <t>Cost Savings!H5:H7</t>
        </is>
      </c>
      <c r="E10" s="85" t="inlineStr">
        <is>
          <t>Dataset: 14 Apr 2026 post-mortem</t>
        </is>
      </c>
    </row>
    <row r="11">
      <c r="B11" s="83" t="inlineStr">
        <is>
          <t>Risk</t>
        </is>
      </c>
      <c r="C11" s="84" t="inlineStr">
        <is>
          <t>ShopSwift $55k SOW lost to a 9-day review delay</t>
        </is>
      </c>
      <c r="D11" s="84" t="inlineStr">
        <is>
          <t>Cost Savings!H10</t>
        </is>
      </c>
      <c r="E11" s="85" t="inlineStr">
        <is>
          <t>Dataset: contract tracker C-019, 22 Sep 2026 meeting</t>
        </is>
      </c>
    </row>
    <row r="12">
      <c r="B12" s="83" t="inlineStr">
        <is>
          <t>Tokens</t>
        </is>
      </c>
      <c r="C12" s="84" t="inlineStr">
        <is>
          <t>~1.3 tokens per English word</t>
        </is>
      </c>
      <c r="D12" s="84" t="inlineStr">
        <is>
          <t>Embeddings!D3</t>
        </is>
      </c>
      <c r="E12" s="85" t="inlineStr">
        <is>
          <t>Industry rule of thumb (same as reference model)</t>
        </is>
      </c>
    </row>
    <row r="13">
      <c r="B13" s="83" t="inlineStr">
        <is>
          <t>Pricing</t>
        </is>
      </c>
      <c r="C13" s="84" t="inlineStr">
        <is>
          <t>GPT-6 Astra $10/$50; GPT-5.6 Sol $4/$20 (promo); GPT-5.6 Terra $2/$12 per 1M tokens</t>
        </is>
      </c>
      <c r="D13" s="84" t="inlineStr">
        <is>
          <t>Inference!F6:G8</t>
        </is>
      </c>
      <c r="E13" s="85" t="inlineStr">
        <is>
          <t>https://pricepertoken.com (Sep 2026) — verify https://developers.openai.com/api/docs/pricing</t>
        </is>
      </c>
    </row>
    <row r="14">
      <c r="B14" s="83" t="inlineStr">
        <is>
          <t>Pricing</t>
        </is>
      </c>
      <c r="C14" s="84" t="inlineStr">
        <is>
          <t>Claude Opus $5/$25; Sonnet $3/$15; Haiku $1/$5 per 1M tokens</t>
        </is>
      </c>
      <c r="D14" s="84" t="inlineStr">
        <is>
          <t>Inference!F9:G11</t>
        </is>
      </c>
      <c r="E14" s="85" t="inlineStr">
        <is>
          <t>https://finout.io/blog/anthropic-api-pricing ; https://www.morphllm.com/anthropic-claude-api-pricing — verify on Anthropic pricing page</t>
        </is>
      </c>
    </row>
    <row r="15">
      <c r="B15" s="83" t="inlineStr">
        <is>
          <t>Pricing</t>
        </is>
      </c>
      <c r="C15" s="84" t="inlineStr">
        <is>
          <t>Groq gpt-oss-120b $0.15/$0.60 per 1M tokens</t>
        </is>
      </c>
      <c r="D15" s="84" t="inlineStr">
        <is>
          <t>Inference!F12:G12</t>
        </is>
      </c>
      <c r="E15" s="85" t="inlineStr">
        <is>
          <t>https://flexprice.io/pricing-index/groq ; https://computeprices.com/providers/groq/models/gpt-oss-120b</t>
        </is>
      </c>
    </row>
    <row r="16">
      <c r="B16" s="83" t="inlineStr">
        <is>
          <t>Pricing</t>
        </is>
      </c>
      <c r="C16" s="84" t="inlineStr">
        <is>
          <t>text-embedding-3-large $0.13 per 1M tokens (small $0.02)</t>
        </is>
      </c>
      <c r="D16" s="84" t="inlineStr">
        <is>
          <t>Embeddings!D16</t>
        </is>
      </c>
      <c r="E16" s="85" t="inlineStr">
        <is>
          <t>https://www.getmaxim.ai/bifrost/llm-cost-calculator/provider/openai/model/text-embedding-3-large</t>
        </is>
      </c>
    </row>
    <row r="17">
      <c r="B17" s="83" t="inlineStr">
        <is>
          <t>Pricing</t>
        </is>
      </c>
      <c r="C17" s="84" t="inlineStr">
        <is>
          <t>Vercel Pro $20/seat/month; Supabase Pro $25/month</t>
        </is>
      </c>
      <c r="D17" s="84" t="inlineStr">
        <is>
          <t>Infrastructure!C14:C15</t>
        </is>
      </c>
      <c r="E17" s="85" t="inlineStr">
        <is>
          <t>https://makerkit.dev/blog/tutorials/vercel-cost ; https://focusreactive.com/blog/supabase-price/</t>
        </is>
      </c>
    </row>
    <row r="18">
      <c r="B18" s="83" t="inlineStr">
        <is>
          <t>Pricing</t>
        </is>
      </c>
      <c r="C18" s="84" t="inlineStr">
        <is>
          <t>Azure Document Intelligence Read OCR ≈ $1.50 / 1,000 pages</t>
        </is>
      </c>
      <c r="D18" s="84" t="inlineStr">
        <is>
          <t>Infrastructure!C8</t>
        </is>
      </c>
      <c r="E18" s="85" t="inlineStr">
        <is>
          <t>https://erpresearch.com/erp-add-ons/ocr/azure-document-intelligence/pricing</t>
        </is>
      </c>
    </row>
    <row r="19">
      <c r="B19" s="83" t="inlineStr">
        <is>
          <t>Discounts (not applied)</t>
        </is>
      </c>
      <c r="C19" s="84" t="inlineStr">
        <is>
          <t>Prompt caching (−90% cached input) and batch APIs (−50%) can cut inference further</t>
        </is>
      </c>
      <c r="D19" s="84" t="inlineStr">
        <is>
          <t>—</t>
        </is>
      </c>
      <c r="E19" s="85" t="inlineStr">
        <is>
          <t>Provider documentation (Anthropic / OpenAI / Groq)</t>
        </is>
      </c>
    </row>
    <row r="20">
      <c r="B20" s="86" t="inlineStr">
        <is>
          <t>Scope</t>
        </is>
      </c>
      <c r="C20" s="87" t="inlineStr">
        <is>
          <t>Excludes AtliQ staff time to build/maintain the product (see Summary one-time build cost)</t>
        </is>
      </c>
      <c r="D20" s="87" t="inlineStr">
        <is>
          <t>Summary</t>
        </is>
      </c>
      <c r="E20" s="88" t="inlineStr">
        <is>
          <t>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2026-10-14T17:23:31Z</dcterms:created>
  <dcterms:modified xsi:type="dcterms:W3CDTF">2026-10-14T17:23:31Z</dcterms:modified>
</cp:coreProperties>
</file>